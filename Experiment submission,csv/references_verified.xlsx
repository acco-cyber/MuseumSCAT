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ferences" sheetId="1" state="visible" r:id="rId3"/>
    <sheet name="Coverage by section" sheetId="2" state="visible" r:id="rId4"/>
  </sheets>
  <definedNames>
    <definedName function="false" hidden="true" localSheetId="0" name="_xlnm._FilterDatabase" vbProcedure="false">References!$A$1:$M$24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<sst xmlns="http://schemas.openxmlformats.org/spreadsheetml/2006/main" count="316" uniqueCount="281">
  <si>
    <t xml:space="preserve">#</t>
  </si>
  <si>
    <t xml:space="preserve">BibTeX key</t>
  </si>
  <si>
    <t xml:space="preserve">Authors</t>
  </si>
  <si>
    <t xml:space="preserve">Title</t>
  </si>
  <si>
    <t xml:space="preserve">Venue</t>
  </si>
  <si>
    <t xml:space="preserve">Type</t>
  </si>
  <si>
    <t xml:space="preserve">Year</t>
  </si>
  <si>
    <t xml:space="preserve">Volume / Issue / Pages</t>
  </si>
  <si>
    <t xml:space="preserve">DOI</t>
  </si>
  <si>
    <t xml:space="preserve">DOI link</t>
  </si>
  <si>
    <t xml:space="preserve">Venue standing</t>
  </si>
  <si>
    <t xml:space="preserve">Where it is used in the paper</t>
  </si>
  <si>
    <t xml:space="preserve">Verified against</t>
  </si>
  <si>
    <t xml:space="preserve">menze2015brats</t>
  </si>
  <si>
    <t xml:space="preserve">Menze, B. H.; Jakab, A.; Bauer, S.; Kalpathy-Cramer, J.; Farahani, K.; Kirby, J.; et al.</t>
  </si>
  <si>
    <t xml:space="preserve">The Multimodal Brain Tumor Image Segmentation Benchmark (BRATS)</t>
  </si>
  <si>
    <t xml:space="preserve">IEEE Transactions on Medical Imaging</t>
  </si>
  <si>
    <t xml:space="preserve">Journal</t>
  </si>
  <si>
    <t xml:space="preserve">Vol. 34, No. 10, pp. 1993-2024</t>
  </si>
  <si>
    <t xml:space="preserve">10.1109/TMI.2014.2377694</t>
  </si>
  <si>
    <t xml:space="preserve">https://doi.org/10.1109/TMI.2014.2377694</t>
  </si>
  <si>
    <t xml:space="preserve">Q1 medical imaging; IEEE flagship</t>
  </si>
  <si>
    <t xml:space="preserve">Sec. I (task framing); Sec. III-A (data provenance)</t>
  </si>
  <si>
    <t xml:space="preserve">PubMed 25494501; publisher record; author PDF</t>
  </si>
  <si>
    <t xml:space="preserve">bakas2017tcga</t>
  </si>
  <si>
    <t xml:space="preserve">Bakas, S.; Akbari, H.; Sotiras, A.; Bilello, M.; Rozycki, M.; Kirby, J. S.; Freymann, J. B.; Farahani, K.; Davatzikos, C.</t>
  </si>
  <si>
    <t xml:space="preserve">Advancing The Cancer Genome Atlas Glioma MRI Collections with Expert Segmentation Labels and Radiomic Features</t>
  </si>
  <si>
    <t xml:space="preserve">Scientific Data (Nature)</t>
  </si>
  <si>
    <t xml:space="preserve">Vol. 4, Art. 170117</t>
  </si>
  <si>
    <t xml:space="preserve">10.1038/sdata.2017.117</t>
  </si>
  <si>
    <t xml:space="preserve">https://doi.org/10.1038/sdata.2017.117</t>
  </si>
  <si>
    <t xml:space="preserve">Q1 multidisciplinary data journal</t>
  </si>
  <si>
    <t xml:space="preserve">Sec. III-A (BraTS-derived provenance of MSD Task01)</t>
  </si>
  <si>
    <t xml:space="preserve">TCIA official publication citation; Nature record</t>
  </si>
  <si>
    <t xml:space="preserve">antonelli2022msd</t>
  </si>
  <si>
    <t xml:space="preserve">Antonelli, M.; Reinke, A.; Bakas, S.; Farahani, K.; Kopp-Schneider, A.; Landman, B. A.; et al.</t>
  </si>
  <si>
    <t xml:space="preserve">The Medical Segmentation Decathlon</t>
  </si>
  <si>
    <t xml:space="preserve">Nature Communications</t>
  </si>
  <si>
    <t xml:space="preserve">Vol. 13, No. 1, Art. 4128</t>
  </si>
  <si>
    <t xml:space="preserve">10.1038/s41467-022-30695-9</t>
  </si>
  <si>
    <t xml:space="preserve">https://doi.org/10.1038/s41467-022-30695-9</t>
  </si>
  <si>
    <t xml:space="preserve">Q1 multidisciplinary</t>
  </si>
  <si>
    <t xml:space="preserve">Sec. I; Sec. III-A (primary dataset source)</t>
  </si>
  <si>
    <t xml:space="preserve">Nature record; KCL / Copenhagen / FAU institutional repositories</t>
  </si>
  <si>
    <t xml:space="preserve">ronneberger2015unet</t>
  </si>
  <si>
    <t xml:space="preserve">Ronneberger, O.; Fischer, P.; Brox, T.</t>
  </si>
  <si>
    <t xml:space="preserve">U-Net: Convolutional Networks for Biomedical Image Segmentation</t>
  </si>
  <si>
    <t xml:space="preserve">MICCAI 2015, LNCS vol. 9351, Springer</t>
  </si>
  <si>
    <t xml:space="preserve">Conference</t>
  </si>
  <si>
    <t xml:space="preserve">pp. 234-241</t>
  </si>
  <si>
    <t xml:space="preserve">10.1007/978-3-319-24574-4_28</t>
  </si>
  <si>
    <t xml:space="preserve">https://doi.org/10.1007/978-3-319-24574-4_28</t>
  </si>
  <si>
    <t xml:space="preserve">A* (CORE) medical imaging conference</t>
  </si>
  <si>
    <t xml:space="preserve">Sec. IV-A (backbone family); Sec. IV-E (U-Net 2.5D comparator)</t>
  </si>
  <si>
    <t xml:space="preserve">Author group page (Univ. Freiburg); Springer DOI record</t>
  </si>
  <si>
    <t xml:space="preserve">isensee2021nnunet</t>
  </si>
  <si>
    <t xml:space="preserve">Isensee, F.; Jaeger, P. F.; Kohl, S. A. A.; Petersen, J.; Maier-Hein, K. H.</t>
  </si>
  <si>
    <t xml:space="preserve">nnU-Net: A Self-Configuring Method for Deep Learning-Based Biomedical Image Segmentation</t>
  </si>
  <si>
    <t xml:space="preserve">Nature Methods</t>
  </si>
  <si>
    <t xml:space="preserve">Vol. 18, No. 2, pp. 203-211</t>
  </si>
  <si>
    <t xml:space="preserve">10.1038/s41592-020-01008-z</t>
  </si>
  <si>
    <t xml:space="preserve">https://doi.org/10.1038/s41592-020-01008-z</t>
  </si>
  <si>
    <t xml:space="preserve">Q1 methods journal</t>
  </si>
  <si>
    <t xml:space="preserve">Sec. IV-A (why a deliberately small budget is a choice, not a claim)</t>
  </si>
  <si>
    <t xml:space="preserve">PubMed 33288961; official nnU-Net repository citation</t>
  </si>
  <si>
    <t xml:space="preserve">zhou2019fusionreview</t>
  </si>
  <si>
    <t xml:space="preserve">Zhou, T.; Ruan, S.; Canu, S.</t>
  </si>
  <si>
    <t xml:space="preserve">A Review: Deep Learning for Medical Image Segmentation Using Multi-Modality Fusion</t>
  </si>
  <si>
    <t xml:space="preserve">Array (Elsevier)</t>
  </si>
  <si>
    <t xml:space="preserve">Journal (review)</t>
  </si>
  <si>
    <t xml:space="preserve">Vol. 3-4, Art. 100004</t>
  </si>
  <si>
    <t xml:space="preserve">10.1016/j.array.2019.100004</t>
  </si>
  <si>
    <t xml:space="preserve">https://doi.org/10.1016/j.array.2019.100004</t>
  </si>
  <si>
    <t xml:space="preserve">Open-access Elsevier review</t>
  </si>
  <si>
    <t xml:space="preserve">Sec. II-D (fusion taxonomy; quality not treated as separable factor)</t>
  </si>
  <si>
    <t xml:space="preserve">DOAJ record; HAL hal-02334290; publisher DOI</t>
  </si>
  <si>
    <t xml:space="preserve">havaei2016hemis</t>
  </si>
  <si>
    <t xml:space="preserve">Havaei, M.; Guizard, N.; Chapados, N.; Bengio, Y.</t>
  </si>
  <si>
    <t xml:space="preserve">HeMIS: Hetero-Modal Image Segmentation</t>
  </si>
  <si>
    <t xml:space="preserve">MICCAI 2016, LNCS vol. 9901, Springer</t>
  </si>
  <si>
    <t xml:space="preserve">pp. 469-477</t>
  </si>
  <si>
    <t xml:space="preserve">10.1007/978-3-319-46723-8_54</t>
  </si>
  <si>
    <t xml:space="preserve">https://doi.org/10.1007/978-3-319-46723-8_54</t>
  </si>
  <si>
    <t xml:space="preserve">A* (CORE); MICCAI oral</t>
  </si>
  <si>
    <t xml:space="preserve">Sec. II-A; Table I; Sec. IV-E (HeMIS-style comparator)</t>
  </si>
  <si>
    <t xml:space="preserve">Springer Nature Link chapter page; ACM DL mirror</t>
  </si>
  <si>
    <t xml:space="preserve">dorent2019uhved</t>
  </si>
  <si>
    <t xml:space="preserve">Dorent, R.; Joutard, S.; Modat, M.; Ourselin, S.; Vercauteren, T.</t>
  </si>
  <si>
    <t xml:space="preserve">Hetero-Modal Variational Encoder-Decoder for Joint Modality Completion and Segmentation</t>
  </si>
  <si>
    <t xml:space="preserve">MICCAI 2019, LNCS vol. 11765, Springer</t>
  </si>
  <si>
    <t xml:space="preserve">pp. 74-82</t>
  </si>
  <si>
    <t xml:space="preserve">10.1007/978-3-030-32245-8_9</t>
  </si>
  <si>
    <t xml:space="preserve">https://doi.org/10.1007/978-3-030-32245-8_9</t>
  </si>
  <si>
    <t xml:space="preserve">A* (CORE)</t>
  </si>
  <si>
    <t xml:space="preserve">Sec. II-A; Table I</t>
  </si>
  <si>
    <t xml:space="preserve">Springer Nature Link chapter page; pages cross-checked in 2 citing papers</t>
  </si>
  <si>
    <t xml:space="preserve">chen2019disentangle</t>
  </si>
  <si>
    <t xml:space="preserve">Chen, C.; Dou, Q.; Jin, Y.; Chen, H.; Qin, J.; Heng, P.-A.</t>
  </si>
  <si>
    <t xml:space="preserve">Robust Multimodal Brain Tumor Segmentation via Feature Disentanglement and Gated Fusion</t>
  </si>
  <si>
    <t xml:space="preserve">MICCAI 2019, LNCS vol. 11766, Springer</t>
  </si>
  <si>
    <t xml:space="preserve">pp. 447-456</t>
  </si>
  <si>
    <t xml:space="preserve">10.1007/978-3-030-32248-9_50</t>
  </si>
  <si>
    <t xml:space="preserve">https://doi.org/10.1007/978-3-030-32248-9_50</t>
  </si>
  <si>
    <t xml:space="preserve">Sec. II-B; Table I</t>
  </si>
  <si>
    <t xml:space="preserve">zhou2021latent</t>
  </si>
  <si>
    <t xml:space="preserve">Zhou, T.; Canu, S.; Vera, P.; Ruan, S.</t>
  </si>
  <si>
    <t xml:space="preserve">Latent Correlation Representation Learning for Brain Tumor Segmentation with Missing MRI Modalities</t>
  </si>
  <si>
    <t xml:space="preserve">IEEE Transactions on Image Processing</t>
  </si>
  <si>
    <t xml:space="preserve">Vol. 30, pp. 4263-4274</t>
  </si>
  <si>
    <t xml:space="preserve">10.1109/TIP.2021.3070752</t>
  </si>
  <si>
    <t xml:space="preserve">https://doi.org/10.1109/TIP.2021.3070752</t>
  </si>
  <si>
    <t xml:space="preserve">Q1 image processing; IEEE flagship</t>
  </si>
  <si>
    <t xml:space="preserve">PubMed 33830924; IEEE Xplore doc. 9399263</t>
  </si>
  <si>
    <t xml:space="preserve">ding2021rfnet</t>
  </si>
  <si>
    <t xml:space="preserve">Ding, Y.; Yu, X.; Yang, Y.</t>
  </si>
  <si>
    <t xml:space="preserve">RFNet: Region-Aware Fusion Network for Incomplete Multi-Modal Brain Tumor Segmentation</t>
  </si>
  <si>
    <t xml:space="preserve">IEEE/CVF International Conference on Computer Vision (ICCV)</t>
  </si>
  <si>
    <t xml:space="preserve">pp. 3975-3984</t>
  </si>
  <si>
    <t xml:space="preserve">10.1109/ICCV48922.2021.00394</t>
  </si>
  <si>
    <t xml:space="preserve">https://doi.org/10.1109/ICCV48922.2021.00394</t>
  </si>
  <si>
    <t xml:space="preserve">Sec. II-C; Table I; Sec. IX (future work comparator)</t>
  </si>
  <si>
    <t xml:space="preserve">IEEE Xplore doc. 9710865; CVF open access; official repo</t>
  </si>
  <si>
    <t xml:space="preserve">zhang2022mmformer</t>
  </si>
  <si>
    <t xml:space="preserve">Zhang, Y.; He, N.; Yang, J.; Li, Y.; Wei, D.; Huang, Y.; Zhang, Y.; He, Z.; Zheng, Y.</t>
  </si>
  <si>
    <t xml:space="preserve">mmFormer: Multimodal Medical Transformer for Incomplete Multimodal Learning of Brain Tumor Segmentation</t>
  </si>
  <si>
    <t xml:space="preserve">MICCAI 2022, LNCS vol. 13435, Springer</t>
  </si>
  <si>
    <t xml:space="preserve">pp. 107-117</t>
  </si>
  <si>
    <t xml:space="preserve">10.1007/978-3-031-16443-9_11</t>
  </si>
  <si>
    <t xml:space="preserve">https://doi.org/10.1007/978-3-031-16443-9_11</t>
  </si>
  <si>
    <t xml:space="preserve">Sec. II-C; Table I</t>
  </si>
  <si>
    <t xml:space="preserve">Springer Nature Link chapter page; author list from arXiv 2206.02425</t>
  </si>
  <si>
    <t xml:space="preserve">wang2023shaspec</t>
  </si>
  <si>
    <t xml:space="preserve">Wang, H.; Chen, Y.; Ma, C.; Avery, J.; Hull, L.; Carneiro, G.</t>
  </si>
  <si>
    <t xml:space="preserve">Multi-Modal Learning with Missing Modality via Shared-Specific Feature Modelling</t>
  </si>
  <si>
    <t xml:space="preserve">IEEE/CVF Conference on Computer Vision and Pattern Recognition (CVPR)</t>
  </si>
  <si>
    <t xml:space="preserve">pp. 15878-15887</t>
  </si>
  <si>
    <t xml:space="preserve">10.1109/CVPR52729.2023.01524</t>
  </si>
  <si>
    <t xml:space="preserve">https://doi.org/10.1109/CVPR52729.2023.01524</t>
  </si>
  <si>
    <t xml:space="preserve">Sec. II-B; Table I; Sec. VIII (not reproduced); Sec. IX</t>
  </si>
  <si>
    <t xml:space="preserve">CVPR 2023 virtual programme; Semantic Scholar DOI record; official repo</t>
  </si>
  <si>
    <t xml:space="preserve">liu2023m3ae</t>
  </si>
  <si>
    <t xml:space="preserve">Liu, H.; Wei, D.; Lu, D.; Sun, J.; Wang, L.; Zheng, Y.</t>
  </si>
  <si>
    <t xml:space="preserve">M3AE: Multimodal Representation Learning for Brain Tumor Segmentation with Missing Modalities</t>
  </si>
  <si>
    <t xml:space="preserve">Proceedings of the AAAI Conference on Artificial Intelligence</t>
  </si>
  <si>
    <t xml:space="preserve">Vol. 37, No. 2, pp. 1657-1665</t>
  </si>
  <si>
    <t xml:space="preserve">10.1609/aaai.v37i2.25253</t>
  </si>
  <si>
    <t xml:space="preserve">https://doi.org/10.1609/aaai.v37i2.25253</t>
  </si>
  <si>
    <t xml:space="preserve">Sec. II-D; Table I; Sec. VIII; Sec. IX</t>
  </si>
  <si>
    <t xml:space="preserve">AAAI OJS article page (view/25253)</t>
  </si>
  <si>
    <t xml:space="preserve">perez2018film</t>
  </si>
  <si>
    <t xml:space="preserve">Perez, E.; Strub, F.; de Vries, H.; Dumoulin, V.; Courville, A.</t>
  </si>
  <si>
    <t xml:space="preserve">FiLM: Visual Reasoning with a General Conditioning Layer</t>
  </si>
  <si>
    <t xml:space="preserve">Vol. 32, No. 1, pp. 3942-3951</t>
  </si>
  <si>
    <t xml:space="preserve">10.1609/aaai.v32i1.11671</t>
  </si>
  <si>
    <t xml:space="preserve">https://doi.org/10.1609/aaai.v32i1.11671</t>
  </si>
  <si>
    <t xml:space="preserve">Sec. II-E; Sec. IV-A (modality-identity conditioning mechanism)</t>
  </si>
  <si>
    <t xml:space="preserve">AAAI OJS article page (view/11671); aaai.org proceedings entry</t>
  </si>
  <si>
    <t xml:space="preserve">yu2019uamt</t>
  </si>
  <si>
    <t xml:space="preserve">Yu, L.; Wang, S.; Li, X.; Fu, C.-W.; Heng, P.-A.</t>
  </si>
  <si>
    <t xml:space="preserve">Uncertainty-Aware Self-Ensembling Model for Semi-Supervised 3D Left Atrium Segmentation</t>
  </si>
  <si>
    <t xml:space="preserve">pp. 605-613</t>
  </si>
  <si>
    <t xml:space="preserve">10.1007/978-3-030-32245-8_67</t>
  </si>
  <si>
    <t xml:space="preserve">https://doi.org/10.1007/978-3-030-32245-8_67</t>
  </si>
  <si>
    <t xml:space="preserve">Sec. IV-D (EMA teacher / confidence-masked consistency)</t>
  </si>
  <si>
    <t xml:space="preserve">Springer DOI cross-checked in 2 citing papers; HKU repository record</t>
  </si>
  <si>
    <t xml:space="preserve">strumbelj2014shapley</t>
  </si>
  <si>
    <t xml:space="preserve">Strumbelj, E.; Kononenko, I.</t>
  </si>
  <si>
    <t xml:space="preserve">Explaining Prediction Models and Individual Predictions with Feature Contributions</t>
  </si>
  <si>
    <t xml:space="preserve">Knowledge and Information Systems (Springer)</t>
  </si>
  <si>
    <t xml:space="preserve">Vol. 41, No. 3, pp. 647-665</t>
  </si>
  <si>
    <t xml:space="preserve">10.1007/s10115-013-0679-x</t>
  </si>
  <si>
    <t xml:space="preserve">https://doi.org/10.1007/s10115-013-0679-x</t>
  </si>
  <si>
    <t xml:space="preserve">Q1 knowledge systems</t>
  </si>
  <si>
    <t xml:space="preserve">Sec. VI-C (exact subset Shapley attribution over 15 modality subsets)</t>
  </si>
  <si>
    <t xml:space="preserve">Publisher record; R 'iml' package reference; ProQuest catalogue</t>
  </si>
  <si>
    <t xml:space="preserve">maierhein2024metrics</t>
  </si>
  <si>
    <t xml:space="preserve">Maier-Hein, L.; Reinke, A.; Godau, P.; Tizabi, M. D.; Buettner, F.; Christodoulou, E.; et al.</t>
  </si>
  <si>
    <t xml:space="preserve">Metrics Reloaded: Recommendations for Image Analysis Validation</t>
  </si>
  <si>
    <t xml:space="preserve">Vol. 21, No. 2, pp. 195-212</t>
  </si>
  <si>
    <t xml:space="preserve">10.1038/s41592-023-02151-z</t>
  </si>
  <si>
    <t xml:space="preserve">https://doi.org/10.1038/s41592-023-02151-z</t>
  </si>
  <si>
    <t xml:space="preserve">Sec. II-F; Sec. V-B (endpoint definition); Sec. VII-C; Sec. IX</t>
  </si>
  <si>
    <t xml:space="preserve">PubMed 38347141; Nature record; Edinburgh/FAU repositories</t>
  </si>
  <si>
    <t xml:space="preserve">reinke2024pitfalls</t>
  </si>
  <si>
    <t xml:space="preserve">Reinke, A.; Tizabi, M. D.; Baumgartner, M.; Eisenmann, M.; Heckmann-Notzel, D.; Kavur, A. E.; et al.</t>
  </si>
  <si>
    <t xml:space="preserve">Understanding Metric-Related Pitfalls in Image Analysis Validation</t>
  </si>
  <si>
    <t xml:space="preserve">Vol. 21, No. 2, pp. 182-194</t>
  </si>
  <si>
    <t xml:space="preserve">10.1038/s41592-023-02150-0</t>
  </si>
  <si>
    <t xml:space="preserve">https://doi.org/10.1038/s41592-023-02150-0</t>
  </si>
  <si>
    <t xml:space="preserve">Sec. II-F; Sec. V-B (empty-reference rule); Sec. VI-D; Sec. IX</t>
  </si>
  <si>
    <t xml:space="preserve">Warwick WRAP record; UvA-DARE published PDF; Nature record</t>
  </si>
  <si>
    <t xml:space="preserve">varoquaux2022failures</t>
  </si>
  <si>
    <t xml:space="preserve">Varoquaux, G.; Cheplygina, V.</t>
  </si>
  <si>
    <t xml:space="preserve">Machine Learning for Medical Imaging: Methodological Failures and Recommendations for the Future</t>
  </si>
  <si>
    <t xml:space="preserve">npj Digital Medicine</t>
  </si>
  <si>
    <t xml:space="preserve">Vol. 5, No. 1, Art. 48</t>
  </si>
  <si>
    <t xml:space="preserve">10.1038/s41746-022-00592-y</t>
  </si>
  <si>
    <t xml:space="preserve">https://doi.org/10.1038/s41746-022-00592-y</t>
  </si>
  <si>
    <t xml:space="preserve">Q1 digital medicine</t>
  </si>
  <si>
    <t xml:space="preserve">Sec. I; Sec. II-D, II-F; Sec. VII-C</t>
  </si>
  <si>
    <t xml:space="preserve">PubMed 35413988; Nature record; DOAJ</t>
  </si>
  <si>
    <t xml:space="preserve">kapoor2023leakage</t>
  </si>
  <si>
    <t xml:space="preserve">Kapoor, S.; Narayanan, A.</t>
  </si>
  <si>
    <t xml:space="preserve">Leakage and the Reproducibility Crisis in Machine-Learning-Based Science</t>
  </si>
  <si>
    <t xml:space="preserve">Patterns (Cell Press)</t>
  </si>
  <si>
    <t xml:space="preserve">Vol. 4, No. 9, Art. 100804</t>
  </si>
  <si>
    <t xml:space="preserve">10.1016/j.patter.2023.100804</t>
  </si>
  <si>
    <t xml:space="preserve">https://doi.org/10.1016/j.patter.2023.100804</t>
  </si>
  <si>
    <t xml:space="preserve">Q1 data science</t>
  </si>
  <si>
    <t xml:space="preserve">Sec. II-F; Sec. III-B (framing of the independence audit)</t>
  </si>
  <si>
    <t xml:space="preserve">PubMed 37720327; Cell Press full text; NSF PAR record</t>
  </si>
  <si>
    <t xml:space="preserve">yagis2021leakage</t>
  </si>
  <si>
    <t xml:space="preserve">Yagis, E.; Atnafu, S. W.; Garcia Seco de Herrera, A.; Marzi, C.; Scheda, R.; Giannelli, M.; Tessa, C.; Citi, L.; Diciotti, S.</t>
  </si>
  <si>
    <t xml:space="preserve">Effect of Data Leakage in Brain MRI Classification Using 2D Convolutional Neural Networks</t>
  </si>
  <si>
    <t xml:space="preserve">Scientific Reports (Nature)</t>
  </si>
  <si>
    <t xml:space="preserve">Vol. 11, Art. 22544</t>
  </si>
  <si>
    <t xml:space="preserve">10.1038/s41598-021-01681-w</t>
  </si>
  <si>
    <t xml:space="preserve">https://doi.org/10.1038/s41598-021-01681-w</t>
  </si>
  <si>
    <t xml:space="preserve">Sec. II-F; Sec. III-B (magnitude of leakage effects in brain MRI)</t>
  </si>
  <si>
    <t xml:space="preserve">PMC8604922; Nature record</t>
  </si>
  <si>
    <t xml:space="preserve">tejani2024claim</t>
  </si>
  <si>
    <t xml:space="preserve">Tejani, A. S.; Klontzas, M. E.; Gatti, A. A.; Mongan, J. T.; Moy, L.; Park, S. H.; Kahn, C. E.</t>
  </si>
  <si>
    <t xml:space="preserve">Checklist for Artificial Intelligence in Medical Imaging (CLAIM): 2024 Update</t>
  </si>
  <si>
    <t xml:space="preserve">Radiology: Artificial Intelligence (RSNA)</t>
  </si>
  <si>
    <t xml:space="preserve">Journal (guideline)</t>
  </si>
  <si>
    <t xml:space="preserve">Vol. 6, No. 4, Art. e240300</t>
  </si>
  <si>
    <t xml:space="preserve">10.1148/ryai.240300</t>
  </si>
  <si>
    <t xml:space="preserve">https://doi.org/10.1148/ryai.240300</t>
  </si>
  <si>
    <t xml:space="preserve">Q1 radiology AI; EQUATOR-registered</t>
  </si>
  <si>
    <t xml:space="preserve">Sec. II-F; Sec. VIII (reporting compliance)</t>
  </si>
  <si>
    <t xml:space="preserve">PMC11304031; PubMed 38809149; EQUATOR Network record</t>
  </si>
  <si>
    <t xml:space="preserve">Total references</t>
  </si>
  <si>
    <t xml:space="preserve">Entries carrying a DOI</t>
  </si>
  <si>
    <t xml:space="preserve">Journal articles</t>
  </si>
  <si>
    <t xml:space="preserve">Conference papers</t>
  </si>
  <si>
    <t xml:space="preserve">Assumption / provenance note: every DOI above was checked against the publisher's own record (Springer Nature Link, IEEE Xplore, AAAI OJS, Nature, Cell Press, RSNA) or an indexing service carrying the publisher record (PubMed, PMC, DOAJ, EQUATOR), on 13 September 2026. The 'Venue standing' column is an editorial judgement, not a metric retrieved from a database - verify against the current CORE / JCR listing before relying on it.</t>
  </si>
  <si>
    <t xml:space="preserve">Paper section</t>
  </si>
  <si>
    <t xml:space="preserve">Role of the citations here</t>
  </si>
  <si>
    <t xml:space="preserve">Reference numbers</t>
  </si>
  <si>
    <t xml:space="preserve">I. Introduction</t>
  </si>
  <si>
    <t xml:space="preserve">Task motivation and the confounding critique</t>
  </si>
  <si>
    <t xml:space="preserve">1, 2, 5, 7-13, 20</t>
  </si>
  <si>
    <t xml:space="preserve">II-A Statistical aggregation</t>
  </si>
  <si>
    <t xml:space="preserve">Direct ancestors of the fusion block under test</t>
  </si>
  <si>
    <t xml:space="preserve">7, 8</t>
  </si>
  <si>
    <t xml:space="preserve">II-B Disentanglement / shared-specific</t>
  </si>
  <si>
    <t xml:space="preserve">Learned but feature-conditioned gates</t>
  </si>
  <si>
    <t xml:space="preserve">9, 10, 13</t>
  </si>
  <si>
    <t xml:space="preserve">II-C Region-aware / transformer fusion</t>
  </si>
  <si>
    <t xml:space="preserve">More expressive gates, still no quality channel</t>
  </si>
  <si>
    <t xml:space="preserve">11, 12</t>
  </si>
  <si>
    <t xml:space="preserve">II-D Reconstruction / pretraining</t>
  </si>
  <si>
    <t xml:space="preserve">Changes training budget, not only the fusion rule</t>
  </si>
  <si>
    <t xml:space="preserve">6, 14, 20</t>
  </si>
  <si>
    <t xml:space="preserve">II-E Conditioning signals</t>
  </si>
  <si>
    <t xml:space="preserve">Mechanism by which side information modulates a network</t>
  </si>
  <si>
    <t xml:space="preserve">15</t>
  </si>
  <si>
    <t xml:space="preserve">II-F Validation, reporting, leakage</t>
  </si>
  <si>
    <t xml:space="preserve">Why small reported gains are fragile</t>
  </si>
  <si>
    <t xml:space="preserve">18, 19, 20, 21, 22, 23</t>
  </si>
  <si>
    <t xml:space="preserve">III. Data and independence audit</t>
  </si>
  <si>
    <t xml:space="preserve">Dataset provenance and leakage magnitude</t>
  </si>
  <si>
    <t xml:space="preserve">1, 2, 3, 21, 22</t>
  </si>
  <si>
    <t xml:space="preserve">IV. Model and controls</t>
  </si>
  <si>
    <t xml:space="preserve">Backbone family, conditioning and EMA consistency</t>
  </si>
  <si>
    <t xml:space="preserve">4, 5, 7, 15, 16</t>
  </si>
  <si>
    <t xml:space="preserve">V. Protocol</t>
  </si>
  <si>
    <t xml:space="preserve">Endpoint selection and empty-reference handling</t>
  </si>
  <si>
    <t xml:space="preserve">18, 19</t>
  </si>
  <si>
    <t xml:space="preserve">VI. Results</t>
  </si>
  <si>
    <t xml:space="preserve">Shapley attribution; empty-reference pitfall</t>
  </si>
  <si>
    <t xml:space="preserve">17, 19</t>
  </si>
  <si>
    <t xml:space="preserve">VII. Discussion</t>
  </si>
  <si>
    <t xml:space="preserve">Benchmark-driven evaluation critique</t>
  </si>
  <si>
    <t xml:space="preserve">18, 20</t>
  </si>
  <si>
    <t xml:space="preserve">VIII. Limitations</t>
  </si>
  <si>
    <t xml:space="preserve">Unreproduced contemporary comparators; reporting standard</t>
  </si>
  <si>
    <t xml:space="preserve">13, 14, 23</t>
  </si>
  <si>
    <t xml:space="preserve">IX. Future work</t>
  </si>
  <si>
    <t xml:space="preserve">Same-family controls for published methods; failure-aware endpoints</t>
  </si>
  <si>
    <t xml:space="preserve">11, 13, 14, 18, 19</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</si>
</sst>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b val="true"/>
      <sz val="10"/>
      <name val="Arial"/>
      <family val="0"/>
      <charset val="1"/>
    </font>
    <font>
      <i val="true"/>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5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5FA"/>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109/TMI.2014.2377694" TargetMode="External"/><Relationship Id="rId2" Type="http://schemas.openxmlformats.org/officeDocument/2006/relationships/hyperlink" Target="https://doi.org/10.1038/sdata.2017.117" TargetMode="External"/><Relationship Id="rId3" Type="http://schemas.openxmlformats.org/officeDocument/2006/relationships/hyperlink" Target="https://doi.org/10.1038/s41467-022-30695-9" TargetMode="External"/><Relationship Id="rId4" Type="http://schemas.openxmlformats.org/officeDocument/2006/relationships/hyperlink" Target="https://doi.org/10.1007/978-3-319-24574-4_28" TargetMode="External"/><Relationship Id="rId5" Type="http://schemas.openxmlformats.org/officeDocument/2006/relationships/hyperlink" Target="https://doi.org/10.1038/s41592-020-01008-z" TargetMode="External"/><Relationship Id="rId6" Type="http://schemas.openxmlformats.org/officeDocument/2006/relationships/hyperlink" Target="https://doi.org/10.1016/j.array.2019.100004" TargetMode="External"/><Relationship Id="rId7" Type="http://schemas.openxmlformats.org/officeDocument/2006/relationships/hyperlink" Target="https://doi.org/10.1007/978-3-319-46723-8_54" TargetMode="External"/><Relationship Id="rId8" Type="http://schemas.openxmlformats.org/officeDocument/2006/relationships/hyperlink" Target="https://doi.org/10.1007/978-3-030-32245-8_9" TargetMode="External"/><Relationship Id="rId9" Type="http://schemas.openxmlformats.org/officeDocument/2006/relationships/hyperlink" Target="https://doi.org/10.1007/978-3-030-32248-9_50" TargetMode="External"/><Relationship Id="rId10" Type="http://schemas.openxmlformats.org/officeDocument/2006/relationships/hyperlink" Target="https://doi.org/10.1109/TIP.2021.3070752" TargetMode="External"/><Relationship Id="rId11" Type="http://schemas.openxmlformats.org/officeDocument/2006/relationships/hyperlink" Target="https://doi.org/10.1109/ICCV48922.2021.00394" TargetMode="External"/><Relationship Id="rId12" Type="http://schemas.openxmlformats.org/officeDocument/2006/relationships/hyperlink" Target="https://doi.org/10.1007/978-3-031-16443-9_11" TargetMode="External"/><Relationship Id="rId13" Type="http://schemas.openxmlformats.org/officeDocument/2006/relationships/hyperlink" Target="https://doi.org/10.1109/CVPR52729.2023.01524" TargetMode="External"/><Relationship Id="rId14" Type="http://schemas.openxmlformats.org/officeDocument/2006/relationships/hyperlink" Target="https://doi.org/10.1609/aaai.v37i2.25253" TargetMode="External"/><Relationship Id="rId15" Type="http://schemas.openxmlformats.org/officeDocument/2006/relationships/hyperlink" Target="https://doi.org/10.1609/aaai.v32i1.11671" TargetMode="External"/><Relationship Id="rId16" Type="http://schemas.openxmlformats.org/officeDocument/2006/relationships/hyperlink" Target="https://doi.org/10.1007/978-3-030-32245-8_67" TargetMode="External"/><Relationship Id="rId17" Type="http://schemas.openxmlformats.org/officeDocument/2006/relationships/hyperlink" Target="https://doi.org/10.1007/s10115-013-0679-x" TargetMode="External"/><Relationship Id="rId18" Type="http://schemas.openxmlformats.org/officeDocument/2006/relationships/hyperlink" Target="https://doi.org/10.1038/s41592-023-02151-z" TargetMode="External"/><Relationship Id="rId19" Type="http://schemas.openxmlformats.org/officeDocument/2006/relationships/hyperlink" Target="https://doi.org/10.1038/s41592-023-02150-0" TargetMode="External"/><Relationship Id="rId20" Type="http://schemas.openxmlformats.org/officeDocument/2006/relationships/hyperlink" Target="https://doi.org/10.1038/s41746-022-00592-y" TargetMode="External"/><Relationship Id="rId21" Type="http://schemas.openxmlformats.org/officeDocument/2006/relationships/hyperlink" Target="https://doi.org/10.1016/j.patter.2023.100804" TargetMode="External"/><Relationship Id="rId22" Type="http://schemas.openxmlformats.org/officeDocument/2006/relationships/hyperlink" Target="https://doi.org/10.1038/s41598-021-01681-w" TargetMode="External"/><Relationship Id="rId23" Type="http://schemas.openxmlformats.org/officeDocument/2006/relationships/hyperlink" Target="https://doi.org/10.1148/ryai.240300" TargetMode="External"/><Relationship Id="rId2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38"/>
    <col collapsed="false" customWidth="true" hidden="false" outlineLevel="0" max="4" min="4" style="0" width="46"/>
    <col collapsed="false" customWidth="true" hidden="false" outlineLevel="0" max="5" min="5" style="0" width="30"/>
    <col collapsed="false" customWidth="true" hidden="false" outlineLevel="0" max="6" min="6" style="0" width="14"/>
    <col collapsed="false" customWidth="true" hidden="false" outlineLevel="0" max="7" min="7" style="0" width="7"/>
    <col collapsed="false" customWidth="true" hidden="false" outlineLevel="0" max="8" min="8" style="0" width="24"/>
    <col collapsed="false" customWidth="true" hidden="false" outlineLevel="0" max="9" min="9" style="0" width="27"/>
    <col collapsed="false" customWidth="true" hidden="false" outlineLevel="0" max="10" min="10" style="0" width="30"/>
    <col collapsed="false" customWidth="true" hidden="false" outlineLevel="0" max="11" min="11" style="0" width="24"/>
    <col collapsed="false" customWidth="true" hidden="false" outlineLevel="0" max="13" min="12" style="0" width="34"/>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57.75" hidden="false" customHeight="true" outlineLevel="0" collapsed="false">
      <c r="A2" s="2" t="n">
        <v>1</v>
      </c>
      <c r="B2" s="3" t="s">
        <v>13</v>
      </c>
      <c r="C2" s="3" t="s">
        <v>14</v>
      </c>
      <c r="D2" s="3" t="s">
        <v>15</v>
      </c>
      <c r="E2" s="3" t="s">
        <v>16</v>
      </c>
      <c r="F2" s="3" t="s">
        <v>17</v>
      </c>
      <c r="G2" s="2" t="n">
        <v>2015</v>
      </c>
      <c r="H2" s="3" t="s">
        <v>18</v>
      </c>
      <c r="I2" s="3" t="s">
        <v>19</v>
      </c>
      <c r="J2" s="4" t="s">
        <v>20</v>
      </c>
      <c r="K2" s="3" t="s">
        <v>21</v>
      </c>
      <c r="L2" s="3" t="s">
        <v>22</v>
      </c>
      <c r="M2" s="3" t="s">
        <v>23</v>
      </c>
    </row>
    <row r="3" customFormat="false" ht="57.75" hidden="false" customHeight="true" outlineLevel="0" collapsed="false">
      <c r="A3" s="5" t="n">
        <v>2</v>
      </c>
      <c r="B3" s="6" t="s">
        <v>24</v>
      </c>
      <c r="C3" s="6" t="s">
        <v>25</v>
      </c>
      <c r="D3" s="6" t="s">
        <v>26</v>
      </c>
      <c r="E3" s="6" t="s">
        <v>27</v>
      </c>
      <c r="F3" s="6" t="s">
        <v>17</v>
      </c>
      <c r="G3" s="5" t="n">
        <v>2017</v>
      </c>
      <c r="H3" s="6" t="s">
        <v>28</v>
      </c>
      <c r="I3" s="6" t="s">
        <v>29</v>
      </c>
      <c r="J3" s="7" t="s">
        <v>30</v>
      </c>
      <c r="K3" s="6" t="s">
        <v>31</v>
      </c>
      <c r="L3" s="6" t="s">
        <v>32</v>
      </c>
      <c r="M3" s="6" t="s">
        <v>33</v>
      </c>
    </row>
    <row r="4" customFormat="false" ht="57.75" hidden="false" customHeight="true" outlineLevel="0" collapsed="false">
      <c r="A4" s="2" t="n">
        <v>3</v>
      </c>
      <c r="B4" s="3" t="s">
        <v>34</v>
      </c>
      <c r="C4" s="3" t="s">
        <v>35</v>
      </c>
      <c r="D4" s="3" t="s">
        <v>36</v>
      </c>
      <c r="E4" s="3" t="s">
        <v>37</v>
      </c>
      <c r="F4" s="3" t="s">
        <v>17</v>
      </c>
      <c r="G4" s="2" t="n">
        <v>2022</v>
      </c>
      <c r="H4" s="3" t="s">
        <v>38</v>
      </c>
      <c r="I4" s="3" t="s">
        <v>39</v>
      </c>
      <c r="J4" s="4" t="s">
        <v>40</v>
      </c>
      <c r="K4" s="3" t="s">
        <v>41</v>
      </c>
      <c r="L4" s="3" t="s">
        <v>42</v>
      </c>
      <c r="M4" s="3" t="s">
        <v>43</v>
      </c>
    </row>
    <row r="5" customFormat="false" ht="57.75" hidden="false" customHeight="true" outlineLevel="0" collapsed="false">
      <c r="A5" s="5" t="n">
        <v>4</v>
      </c>
      <c r="B5" s="6" t="s">
        <v>44</v>
      </c>
      <c r="C5" s="6" t="s">
        <v>45</v>
      </c>
      <c r="D5" s="6" t="s">
        <v>46</v>
      </c>
      <c r="E5" s="6" t="s">
        <v>47</v>
      </c>
      <c r="F5" s="6" t="s">
        <v>48</v>
      </c>
      <c r="G5" s="5" t="n">
        <v>2015</v>
      </c>
      <c r="H5" s="6" t="s">
        <v>49</v>
      </c>
      <c r="I5" s="6" t="s">
        <v>50</v>
      </c>
      <c r="J5" s="7" t="s">
        <v>51</v>
      </c>
      <c r="K5" s="6" t="s">
        <v>52</v>
      </c>
      <c r="L5" s="6" t="s">
        <v>53</v>
      </c>
      <c r="M5" s="6" t="s">
        <v>54</v>
      </c>
    </row>
    <row r="6" customFormat="false" ht="57.75" hidden="false" customHeight="true" outlineLevel="0" collapsed="false">
      <c r="A6" s="2" t="n">
        <v>5</v>
      </c>
      <c r="B6" s="3" t="s">
        <v>55</v>
      </c>
      <c r="C6" s="3" t="s">
        <v>56</v>
      </c>
      <c r="D6" s="3" t="s">
        <v>57</v>
      </c>
      <c r="E6" s="3" t="s">
        <v>58</v>
      </c>
      <c r="F6" s="3" t="s">
        <v>17</v>
      </c>
      <c r="G6" s="2" t="n">
        <v>2021</v>
      </c>
      <c r="H6" s="3" t="s">
        <v>59</v>
      </c>
      <c r="I6" s="3" t="s">
        <v>60</v>
      </c>
      <c r="J6" s="4" t="s">
        <v>61</v>
      </c>
      <c r="K6" s="3" t="s">
        <v>62</v>
      </c>
      <c r="L6" s="3" t="s">
        <v>63</v>
      </c>
      <c r="M6" s="3" t="s">
        <v>64</v>
      </c>
    </row>
    <row r="7" customFormat="false" ht="57.75" hidden="false" customHeight="true" outlineLevel="0" collapsed="false">
      <c r="A7" s="5" t="n">
        <v>6</v>
      </c>
      <c r="B7" s="6" t="s">
        <v>65</v>
      </c>
      <c r="C7" s="6" t="s">
        <v>66</v>
      </c>
      <c r="D7" s="6" t="s">
        <v>67</v>
      </c>
      <c r="E7" s="6" t="s">
        <v>68</v>
      </c>
      <c r="F7" s="6" t="s">
        <v>69</v>
      </c>
      <c r="G7" s="5" t="n">
        <v>2019</v>
      </c>
      <c r="H7" s="6" t="s">
        <v>70</v>
      </c>
      <c r="I7" s="6" t="s">
        <v>71</v>
      </c>
      <c r="J7" s="7" t="s">
        <v>72</v>
      </c>
      <c r="K7" s="6" t="s">
        <v>73</v>
      </c>
      <c r="L7" s="6" t="s">
        <v>74</v>
      </c>
      <c r="M7" s="6" t="s">
        <v>75</v>
      </c>
    </row>
    <row r="8" customFormat="false" ht="57.75" hidden="false" customHeight="true" outlineLevel="0" collapsed="false">
      <c r="A8" s="2" t="n">
        <v>7</v>
      </c>
      <c r="B8" s="3" t="s">
        <v>76</v>
      </c>
      <c r="C8" s="3" t="s">
        <v>77</v>
      </c>
      <c r="D8" s="3" t="s">
        <v>78</v>
      </c>
      <c r="E8" s="3" t="s">
        <v>79</v>
      </c>
      <c r="F8" s="3" t="s">
        <v>48</v>
      </c>
      <c r="G8" s="2" t="n">
        <v>2016</v>
      </c>
      <c r="H8" s="3" t="s">
        <v>80</v>
      </c>
      <c r="I8" s="3" t="s">
        <v>81</v>
      </c>
      <c r="J8" s="4" t="s">
        <v>82</v>
      </c>
      <c r="K8" s="3" t="s">
        <v>83</v>
      </c>
      <c r="L8" s="3" t="s">
        <v>84</v>
      </c>
      <c r="M8" s="3" t="s">
        <v>85</v>
      </c>
    </row>
    <row r="9" customFormat="false" ht="57.75" hidden="false" customHeight="true" outlineLevel="0" collapsed="false">
      <c r="A9" s="5" t="n">
        <v>8</v>
      </c>
      <c r="B9" s="6" t="s">
        <v>86</v>
      </c>
      <c r="C9" s="6" t="s">
        <v>87</v>
      </c>
      <c r="D9" s="6" t="s">
        <v>88</v>
      </c>
      <c r="E9" s="6" t="s">
        <v>89</v>
      </c>
      <c r="F9" s="6" t="s">
        <v>48</v>
      </c>
      <c r="G9" s="5" t="n">
        <v>2019</v>
      </c>
      <c r="H9" s="6" t="s">
        <v>90</v>
      </c>
      <c r="I9" s="6" t="s">
        <v>91</v>
      </c>
      <c r="J9" s="7" t="s">
        <v>92</v>
      </c>
      <c r="K9" s="6" t="s">
        <v>93</v>
      </c>
      <c r="L9" s="6" t="s">
        <v>94</v>
      </c>
      <c r="M9" s="6" t="s">
        <v>95</v>
      </c>
    </row>
    <row r="10" customFormat="false" ht="57.75" hidden="false" customHeight="true" outlineLevel="0" collapsed="false">
      <c r="A10" s="2" t="n">
        <v>9</v>
      </c>
      <c r="B10" s="3" t="s">
        <v>96</v>
      </c>
      <c r="C10" s="3" t="s">
        <v>97</v>
      </c>
      <c r="D10" s="3" t="s">
        <v>98</v>
      </c>
      <c r="E10" s="3" t="s">
        <v>99</v>
      </c>
      <c r="F10" s="3" t="s">
        <v>48</v>
      </c>
      <c r="G10" s="2" t="n">
        <v>2019</v>
      </c>
      <c r="H10" s="3" t="s">
        <v>100</v>
      </c>
      <c r="I10" s="3" t="s">
        <v>101</v>
      </c>
      <c r="J10" s="4" t="s">
        <v>102</v>
      </c>
      <c r="K10" s="3" t="s">
        <v>93</v>
      </c>
      <c r="L10" s="3" t="s">
        <v>103</v>
      </c>
      <c r="M10" s="3" t="s">
        <v>85</v>
      </c>
    </row>
    <row r="11" customFormat="false" ht="57.75" hidden="false" customHeight="true" outlineLevel="0" collapsed="false">
      <c r="A11" s="5" t="n">
        <v>10</v>
      </c>
      <c r="B11" s="6" t="s">
        <v>104</v>
      </c>
      <c r="C11" s="6" t="s">
        <v>105</v>
      </c>
      <c r="D11" s="6" t="s">
        <v>106</v>
      </c>
      <c r="E11" s="6" t="s">
        <v>107</v>
      </c>
      <c r="F11" s="6" t="s">
        <v>17</v>
      </c>
      <c r="G11" s="5" t="n">
        <v>2021</v>
      </c>
      <c r="H11" s="6" t="s">
        <v>108</v>
      </c>
      <c r="I11" s="6" t="s">
        <v>109</v>
      </c>
      <c r="J11" s="7" t="s">
        <v>110</v>
      </c>
      <c r="K11" s="6" t="s">
        <v>111</v>
      </c>
      <c r="L11" s="6" t="s">
        <v>103</v>
      </c>
      <c r="M11" s="6" t="s">
        <v>112</v>
      </c>
    </row>
    <row r="12" customFormat="false" ht="57.75" hidden="false" customHeight="true" outlineLevel="0" collapsed="false">
      <c r="A12" s="2" t="n">
        <v>11</v>
      </c>
      <c r="B12" s="3" t="s">
        <v>113</v>
      </c>
      <c r="C12" s="3" t="s">
        <v>114</v>
      </c>
      <c r="D12" s="3" t="s">
        <v>115</v>
      </c>
      <c r="E12" s="3" t="s">
        <v>116</v>
      </c>
      <c r="F12" s="3" t="s">
        <v>48</v>
      </c>
      <c r="G12" s="2" t="n">
        <v>2021</v>
      </c>
      <c r="H12" s="3" t="s">
        <v>117</v>
      </c>
      <c r="I12" s="3" t="s">
        <v>118</v>
      </c>
      <c r="J12" s="4" t="s">
        <v>119</v>
      </c>
      <c r="K12" s="3" t="s">
        <v>93</v>
      </c>
      <c r="L12" s="3" t="s">
        <v>120</v>
      </c>
      <c r="M12" s="3" t="s">
        <v>121</v>
      </c>
    </row>
    <row r="13" customFormat="false" ht="57.75" hidden="false" customHeight="true" outlineLevel="0" collapsed="false">
      <c r="A13" s="5" t="n">
        <v>12</v>
      </c>
      <c r="B13" s="6" t="s">
        <v>122</v>
      </c>
      <c r="C13" s="6" t="s">
        <v>123</v>
      </c>
      <c r="D13" s="6" t="s">
        <v>124</v>
      </c>
      <c r="E13" s="6" t="s">
        <v>125</v>
      </c>
      <c r="F13" s="6" t="s">
        <v>48</v>
      </c>
      <c r="G13" s="5" t="n">
        <v>2022</v>
      </c>
      <c r="H13" s="6" t="s">
        <v>126</v>
      </c>
      <c r="I13" s="6" t="s">
        <v>127</v>
      </c>
      <c r="J13" s="7" t="s">
        <v>128</v>
      </c>
      <c r="K13" s="6" t="s">
        <v>93</v>
      </c>
      <c r="L13" s="6" t="s">
        <v>129</v>
      </c>
      <c r="M13" s="6" t="s">
        <v>130</v>
      </c>
    </row>
    <row r="14" customFormat="false" ht="57.75" hidden="false" customHeight="true" outlineLevel="0" collapsed="false">
      <c r="A14" s="2" t="n">
        <v>13</v>
      </c>
      <c r="B14" s="3" t="s">
        <v>131</v>
      </c>
      <c r="C14" s="3" t="s">
        <v>132</v>
      </c>
      <c r="D14" s="3" t="s">
        <v>133</v>
      </c>
      <c r="E14" s="3" t="s">
        <v>134</v>
      </c>
      <c r="F14" s="3" t="s">
        <v>48</v>
      </c>
      <c r="G14" s="2" t="n">
        <v>2023</v>
      </c>
      <c r="H14" s="3" t="s">
        <v>135</v>
      </c>
      <c r="I14" s="3" t="s">
        <v>136</v>
      </c>
      <c r="J14" s="4" t="s">
        <v>137</v>
      </c>
      <c r="K14" s="3" t="s">
        <v>93</v>
      </c>
      <c r="L14" s="3" t="s">
        <v>138</v>
      </c>
      <c r="M14" s="3" t="s">
        <v>139</v>
      </c>
    </row>
    <row r="15" customFormat="false" ht="57.75" hidden="false" customHeight="true" outlineLevel="0" collapsed="false">
      <c r="A15" s="5" t="n">
        <v>14</v>
      </c>
      <c r="B15" s="6" t="s">
        <v>140</v>
      </c>
      <c r="C15" s="6" t="s">
        <v>141</v>
      </c>
      <c r="D15" s="6" t="s">
        <v>142</v>
      </c>
      <c r="E15" s="6" t="s">
        <v>143</v>
      </c>
      <c r="F15" s="6" t="s">
        <v>48</v>
      </c>
      <c r="G15" s="5" t="n">
        <v>2023</v>
      </c>
      <c r="H15" s="6" t="s">
        <v>144</v>
      </c>
      <c r="I15" s="6" t="s">
        <v>145</v>
      </c>
      <c r="J15" s="7" t="s">
        <v>146</v>
      </c>
      <c r="K15" s="6" t="s">
        <v>93</v>
      </c>
      <c r="L15" s="6" t="s">
        <v>147</v>
      </c>
      <c r="M15" s="6" t="s">
        <v>148</v>
      </c>
    </row>
    <row r="16" customFormat="false" ht="57.75" hidden="false" customHeight="true" outlineLevel="0" collapsed="false">
      <c r="A16" s="2" t="n">
        <v>15</v>
      </c>
      <c r="B16" s="3" t="s">
        <v>149</v>
      </c>
      <c r="C16" s="3" t="s">
        <v>150</v>
      </c>
      <c r="D16" s="3" t="s">
        <v>151</v>
      </c>
      <c r="E16" s="3" t="s">
        <v>143</v>
      </c>
      <c r="F16" s="3" t="s">
        <v>48</v>
      </c>
      <c r="G16" s="2" t="n">
        <v>2018</v>
      </c>
      <c r="H16" s="3" t="s">
        <v>152</v>
      </c>
      <c r="I16" s="3" t="s">
        <v>153</v>
      </c>
      <c r="J16" s="4" t="s">
        <v>154</v>
      </c>
      <c r="K16" s="3" t="s">
        <v>93</v>
      </c>
      <c r="L16" s="3" t="s">
        <v>155</v>
      </c>
      <c r="M16" s="3" t="s">
        <v>156</v>
      </c>
    </row>
    <row r="17" customFormat="false" ht="57.75" hidden="false" customHeight="true" outlineLevel="0" collapsed="false">
      <c r="A17" s="5" t="n">
        <v>16</v>
      </c>
      <c r="B17" s="6" t="s">
        <v>157</v>
      </c>
      <c r="C17" s="6" t="s">
        <v>158</v>
      </c>
      <c r="D17" s="6" t="s">
        <v>159</v>
      </c>
      <c r="E17" s="6" t="s">
        <v>89</v>
      </c>
      <c r="F17" s="6" t="s">
        <v>48</v>
      </c>
      <c r="G17" s="5" t="n">
        <v>2019</v>
      </c>
      <c r="H17" s="6" t="s">
        <v>160</v>
      </c>
      <c r="I17" s="6" t="s">
        <v>161</v>
      </c>
      <c r="J17" s="7" t="s">
        <v>162</v>
      </c>
      <c r="K17" s="6" t="s">
        <v>93</v>
      </c>
      <c r="L17" s="6" t="s">
        <v>163</v>
      </c>
      <c r="M17" s="6" t="s">
        <v>164</v>
      </c>
    </row>
    <row r="18" customFormat="false" ht="57.75" hidden="false" customHeight="true" outlineLevel="0" collapsed="false">
      <c r="A18" s="2" t="n">
        <v>17</v>
      </c>
      <c r="B18" s="3" t="s">
        <v>165</v>
      </c>
      <c r="C18" s="3" t="s">
        <v>166</v>
      </c>
      <c r="D18" s="3" t="s">
        <v>167</v>
      </c>
      <c r="E18" s="3" t="s">
        <v>168</v>
      </c>
      <c r="F18" s="3" t="s">
        <v>17</v>
      </c>
      <c r="G18" s="2" t="n">
        <v>2014</v>
      </c>
      <c r="H18" s="3" t="s">
        <v>169</v>
      </c>
      <c r="I18" s="3" t="s">
        <v>170</v>
      </c>
      <c r="J18" s="4" t="s">
        <v>171</v>
      </c>
      <c r="K18" s="3" t="s">
        <v>172</v>
      </c>
      <c r="L18" s="3" t="s">
        <v>173</v>
      </c>
      <c r="M18" s="3" t="s">
        <v>174</v>
      </c>
    </row>
    <row r="19" customFormat="false" ht="57.75" hidden="false" customHeight="true" outlineLevel="0" collapsed="false">
      <c r="A19" s="5" t="n">
        <v>18</v>
      </c>
      <c r="B19" s="6" t="s">
        <v>175</v>
      </c>
      <c r="C19" s="6" t="s">
        <v>176</v>
      </c>
      <c r="D19" s="6" t="s">
        <v>177</v>
      </c>
      <c r="E19" s="6" t="s">
        <v>58</v>
      </c>
      <c r="F19" s="6" t="s">
        <v>17</v>
      </c>
      <c r="G19" s="5" t="n">
        <v>2024</v>
      </c>
      <c r="H19" s="6" t="s">
        <v>178</v>
      </c>
      <c r="I19" s="6" t="s">
        <v>179</v>
      </c>
      <c r="J19" s="7" t="s">
        <v>180</v>
      </c>
      <c r="K19" s="6" t="s">
        <v>62</v>
      </c>
      <c r="L19" s="6" t="s">
        <v>181</v>
      </c>
      <c r="M19" s="6" t="s">
        <v>182</v>
      </c>
    </row>
    <row r="20" customFormat="false" ht="57.75" hidden="false" customHeight="true" outlineLevel="0" collapsed="false">
      <c r="A20" s="2" t="n">
        <v>19</v>
      </c>
      <c r="B20" s="3" t="s">
        <v>183</v>
      </c>
      <c r="C20" s="3" t="s">
        <v>184</v>
      </c>
      <c r="D20" s="3" t="s">
        <v>185</v>
      </c>
      <c r="E20" s="3" t="s">
        <v>58</v>
      </c>
      <c r="F20" s="3" t="s">
        <v>17</v>
      </c>
      <c r="G20" s="2" t="n">
        <v>2024</v>
      </c>
      <c r="H20" s="3" t="s">
        <v>186</v>
      </c>
      <c r="I20" s="3" t="s">
        <v>187</v>
      </c>
      <c r="J20" s="4" t="s">
        <v>188</v>
      </c>
      <c r="K20" s="3" t="s">
        <v>62</v>
      </c>
      <c r="L20" s="3" t="s">
        <v>189</v>
      </c>
      <c r="M20" s="3" t="s">
        <v>190</v>
      </c>
    </row>
    <row r="21" customFormat="false" ht="57.75" hidden="false" customHeight="true" outlineLevel="0" collapsed="false">
      <c r="A21" s="5" t="n">
        <v>20</v>
      </c>
      <c r="B21" s="6" t="s">
        <v>191</v>
      </c>
      <c r="C21" s="6" t="s">
        <v>192</v>
      </c>
      <c r="D21" s="6" t="s">
        <v>193</v>
      </c>
      <c r="E21" s="6" t="s">
        <v>194</v>
      </c>
      <c r="F21" s="6" t="s">
        <v>17</v>
      </c>
      <c r="G21" s="5" t="n">
        <v>2022</v>
      </c>
      <c r="H21" s="6" t="s">
        <v>195</v>
      </c>
      <c r="I21" s="6" t="s">
        <v>196</v>
      </c>
      <c r="J21" s="7" t="s">
        <v>197</v>
      </c>
      <c r="K21" s="6" t="s">
        <v>198</v>
      </c>
      <c r="L21" s="6" t="s">
        <v>199</v>
      </c>
      <c r="M21" s="6" t="s">
        <v>200</v>
      </c>
    </row>
    <row r="22" customFormat="false" ht="57.75" hidden="false" customHeight="true" outlineLevel="0" collapsed="false">
      <c r="A22" s="2" t="n">
        <v>21</v>
      </c>
      <c r="B22" s="3" t="s">
        <v>201</v>
      </c>
      <c r="C22" s="3" t="s">
        <v>202</v>
      </c>
      <c r="D22" s="3" t="s">
        <v>203</v>
      </c>
      <c r="E22" s="3" t="s">
        <v>204</v>
      </c>
      <c r="F22" s="3" t="s">
        <v>17</v>
      </c>
      <c r="G22" s="2" t="n">
        <v>2023</v>
      </c>
      <c r="H22" s="3" t="s">
        <v>205</v>
      </c>
      <c r="I22" s="3" t="s">
        <v>206</v>
      </c>
      <c r="J22" s="4" t="s">
        <v>207</v>
      </c>
      <c r="K22" s="3" t="s">
        <v>208</v>
      </c>
      <c r="L22" s="3" t="s">
        <v>209</v>
      </c>
      <c r="M22" s="3" t="s">
        <v>210</v>
      </c>
    </row>
    <row r="23" customFormat="false" ht="57.75" hidden="false" customHeight="true" outlineLevel="0" collapsed="false">
      <c r="A23" s="5" t="n">
        <v>22</v>
      </c>
      <c r="B23" s="6" t="s">
        <v>211</v>
      </c>
      <c r="C23" s="6" t="s">
        <v>212</v>
      </c>
      <c r="D23" s="6" t="s">
        <v>213</v>
      </c>
      <c r="E23" s="6" t="s">
        <v>214</v>
      </c>
      <c r="F23" s="6" t="s">
        <v>17</v>
      </c>
      <c r="G23" s="5" t="n">
        <v>2021</v>
      </c>
      <c r="H23" s="6" t="s">
        <v>215</v>
      </c>
      <c r="I23" s="6" t="s">
        <v>216</v>
      </c>
      <c r="J23" s="7" t="s">
        <v>217</v>
      </c>
      <c r="K23" s="6" t="s">
        <v>41</v>
      </c>
      <c r="L23" s="6" t="s">
        <v>218</v>
      </c>
      <c r="M23" s="6" t="s">
        <v>219</v>
      </c>
    </row>
    <row r="24" customFormat="false" ht="57.75" hidden="false" customHeight="true" outlineLevel="0" collapsed="false">
      <c r="A24" s="2" t="n">
        <v>23</v>
      </c>
      <c r="B24" s="3" t="s">
        <v>220</v>
      </c>
      <c r="C24" s="3" t="s">
        <v>221</v>
      </c>
      <c r="D24" s="3" t="s">
        <v>222</v>
      </c>
      <c r="E24" s="3" t="s">
        <v>223</v>
      </c>
      <c r="F24" s="3" t="s">
        <v>224</v>
      </c>
      <c r="G24" s="2" t="n">
        <v>2024</v>
      </c>
      <c r="H24" s="3" t="s">
        <v>225</v>
      </c>
      <c r="I24" s="3" t="s">
        <v>226</v>
      </c>
      <c r="J24" s="4" t="s">
        <v>227</v>
      </c>
      <c r="K24" s="3" t="s">
        <v>228</v>
      </c>
      <c r="L24" s="3" t="s">
        <v>229</v>
      </c>
      <c r="M24" s="3" t="s">
        <v>230</v>
      </c>
    </row>
    <row r="26" customFormat="false" ht="15" hidden="false" customHeight="false" outlineLevel="0" collapsed="false">
      <c r="B26" s="8" t="s">
        <v>231</v>
      </c>
      <c r="C26" s="8" t="n">
        <f aca="false">COUNTA(B2:B24)</f>
        <v>23</v>
      </c>
    </row>
    <row r="27" customFormat="false" ht="15" hidden="false" customHeight="false" outlineLevel="0" collapsed="false">
      <c r="B27" s="9" t="s">
        <v>232</v>
      </c>
      <c r="C27" s="9" t="n">
        <f aca="false">COUNTA(I2:I24)</f>
        <v>23</v>
      </c>
    </row>
    <row r="28" customFormat="false" ht="15" hidden="false" customHeight="false" outlineLevel="0" collapsed="false">
      <c r="B28" s="9" t="s">
        <v>233</v>
      </c>
      <c r="C28" s="9" t="n">
        <f aca="false">COUNTIF(F2:F24,"Journal*")</f>
        <v>13</v>
      </c>
    </row>
    <row r="29" customFormat="false" ht="15" hidden="false" customHeight="false" outlineLevel="0" collapsed="false">
      <c r="B29" s="9" t="s">
        <v>234</v>
      </c>
      <c r="C29" s="9" t="n">
        <f aca="false">COUNTIF(F2:F24,"Conference")</f>
        <v>10</v>
      </c>
    </row>
    <row r="31" customFormat="false" ht="15" hidden="false" customHeight="true" outlineLevel="0" collapsed="false">
      <c r="B31" s="10" t="s">
        <v>235</v>
      </c>
      <c r="C31" s="10"/>
      <c r="D31" s="10"/>
      <c r="E31" s="10"/>
      <c r="F31" s="10"/>
      <c r="G31" s="10"/>
      <c r="H31" s="10"/>
      <c r="I31" s="10"/>
      <c r="J31" s="10"/>
      <c r="K31" s="10"/>
      <c r="L31" s="10"/>
      <c r="M31" s="10"/>
    </row>
    <row r="32" customFormat="false" ht="15" hidden="false" customHeight="false" outlineLevel="0" collapsed="false">
      <c r="B32" s="10"/>
      <c r="C32" s="10"/>
      <c r="D32" s="10"/>
      <c r="E32" s="10"/>
      <c r="F32" s="10"/>
      <c r="G32" s="10"/>
      <c r="H32" s="10"/>
      <c r="I32" s="10"/>
      <c r="J32" s="10"/>
      <c r="K32" s="10"/>
      <c r="L32" s="10"/>
      <c r="M32" s="10"/>
    </row>
    <row r="33" customFormat="false" ht="15" hidden="false" customHeight="false" outlineLevel="0" collapsed="false">
      <c r="B33" s="10"/>
      <c r="C33" s="10"/>
      <c r="D33" s="10"/>
      <c r="E33" s="10"/>
      <c r="F33" s="10"/>
      <c r="G33" s="10"/>
      <c r="H33" s="10"/>
      <c r="I33" s="10"/>
      <c r="J33" s="10"/>
      <c r="K33" s="10"/>
      <c r="L33" s="10"/>
      <c r="M33" s="10"/>
    </row>
  </sheetData>
  <autoFilter ref="A1:M24"/>
  <mergeCells count="1">
    <mergeCell ref="B31:M33"/>
  </mergeCells>
  <hyperlinks>
    <hyperlink ref="J2" r:id="rId1" display="https://doi.org/10.1109/TMI.2014.2377694"/>
    <hyperlink ref="J3" r:id="rId2" display="https://doi.org/10.1038/sdata.2017.117"/>
    <hyperlink ref="J4" r:id="rId3" display="https://doi.org/10.1038/s41467-022-30695-9"/>
    <hyperlink ref="J5" r:id="rId4" display="https://doi.org/10.1007/978-3-319-24574-4_28"/>
    <hyperlink ref="J6" r:id="rId5" display="https://doi.org/10.1038/s41592-020-01008-z"/>
    <hyperlink ref="J7" r:id="rId6" display="https://doi.org/10.1016/j.array.2019.100004"/>
    <hyperlink ref="J8" r:id="rId7" display="https://doi.org/10.1007/978-3-319-46723-8_54"/>
    <hyperlink ref="J9" r:id="rId8" display="https://doi.org/10.1007/978-3-030-32245-8_9"/>
    <hyperlink ref="J10" r:id="rId9" display="https://doi.org/10.1007/978-3-030-32248-9_50"/>
    <hyperlink ref="J11" r:id="rId10" display="https://doi.org/10.1109/TIP.2021.3070752"/>
    <hyperlink ref="J12" r:id="rId11" display="https://doi.org/10.1109/ICCV48922.2021.00394"/>
    <hyperlink ref="J13" r:id="rId12" display="https://doi.org/10.1007/978-3-031-16443-9_11"/>
    <hyperlink ref="J14" r:id="rId13" display="https://doi.org/10.1109/CVPR52729.2023.01524"/>
    <hyperlink ref="J15" r:id="rId14" display="https://doi.org/10.1609/aaai.v37i2.25253"/>
    <hyperlink ref="J16" r:id="rId15" display="https://doi.org/10.1609/aaai.v32i1.11671"/>
    <hyperlink ref="J17" r:id="rId16" display="https://doi.org/10.1007/978-3-030-32245-8_67"/>
    <hyperlink ref="J18" r:id="rId17" display="https://doi.org/10.1007/s10115-013-0679-x"/>
    <hyperlink ref="J19" r:id="rId18" display="https://doi.org/10.1038/s41592-023-02151-z"/>
    <hyperlink ref="J20" r:id="rId19" display="https://doi.org/10.1038/s41592-023-02150-0"/>
    <hyperlink ref="J21" r:id="rId20" display="https://doi.org/10.1038/s41746-022-00592-y"/>
    <hyperlink ref="J22" r:id="rId21" display="https://doi.org/10.1016/j.patter.2023.100804"/>
    <hyperlink ref="J23" r:id="rId22" display="https://doi.org/10.1038/s41598-021-01681-w"/>
    <hyperlink ref="J24" r:id="rId23" display="https://doi.org/10.1148/ryai.24030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6"/>
    <col collapsed="false" customWidth="true" hidden="false" outlineLevel="0" max="3" min="3" style="0" width="26"/>
  </cols>
  <sheetData>
    <row r="1" customFormat="false" ht="30" hidden="false" customHeight="true" outlineLevel="0" collapsed="false">
      <c r="A1" s="1" t="s">
        <v>236</v>
      </c>
      <c r="B1" s="1" t="s">
        <v>237</v>
      </c>
      <c r="C1" s="1" t="s">
        <v>238</v>
      </c>
    </row>
    <row r="2" customFormat="false" ht="30" hidden="false" customHeight="true" outlineLevel="0" collapsed="false">
      <c r="A2" s="3" t="s">
        <v>239</v>
      </c>
      <c r="B2" s="3" t="s">
        <v>240</v>
      </c>
      <c r="C2" s="3" t="s">
        <v>241</v>
      </c>
    </row>
    <row r="3" customFormat="false" ht="30" hidden="false" customHeight="true" outlineLevel="0" collapsed="false">
      <c r="A3" s="6" t="s">
        <v>242</v>
      </c>
      <c r="B3" s="6" t="s">
        <v>243</v>
      </c>
      <c r="C3" s="6" t="s">
        <v>244</v>
      </c>
    </row>
    <row r="4" customFormat="false" ht="30" hidden="false" customHeight="true" outlineLevel="0" collapsed="false">
      <c r="A4" s="3" t="s">
        <v>245</v>
      </c>
      <c r="B4" s="3" t="s">
        <v>246</v>
      </c>
      <c r="C4" s="3" t="s">
        <v>247</v>
      </c>
    </row>
    <row r="5" customFormat="false" ht="30" hidden="false" customHeight="true" outlineLevel="0" collapsed="false">
      <c r="A5" s="6" t="s">
        <v>248</v>
      </c>
      <c r="B5" s="6" t="s">
        <v>249</v>
      </c>
      <c r="C5" s="6" t="s">
        <v>250</v>
      </c>
    </row>
    <row r="6" customFormat="false" ht="30" hidden="false" customHeight="true" outlineLevel="0" collapsed="false">
      <c r="A6" s="3" t="s">
        <v>251</v>
      </c>
      <c r="B6" s="3" t="s">
        <v>252</v>
      </c>
      <c r="C6" s="3" t="s">
        <v>253</v>
      </c>
    </row>
    <row r="7" customFormat="false" ht="30" hidden="false" customHeight="true" outlineLevel="0" collapsed="false">
      <c r="A7" s="6" t="s">
        <v>254</v>
      </c>
      <c r="B7" s="6" t="s">
        <v>255</v>
      </c>
      <c r="C7" s="6" t="s">
        <v>256</v>
      </c>
    </row>
    <row r="8" customFormat="false" ht="30" hidden="false" customHeight="true" outlineLevel="0" collapsed="false">
      <c r="A8" s="3" t="s">
        <v>257</v>
      </c>
      <c r="B8" s="3" t="s">
        <v>258</v>
      </c>
      <c r="C8" s="3" t="s">
        <v>259</v>
      </c>
    </row>
    <row r="9" customFormat="false" ht="30" hidden="false" customHeight="true" outlineLevel="0" collapsed="false">
      <c r="A9" s="6" t="s">
        <v>260</v>
      </c>
      <c r="B9" s="6" t="s">
        <v>261</v>
      </c>
      <c r="C9" s="6" t="s">
        <v>262</v>
      </c>
    </row>
    <row r="10" customFormat="false" ht="30" hidden="false" customHeight="true" outlineLevel="0" collapsed="false">
      <c r="A10" s="3" t="s">
        <v>263</v>
      </c>
      <c r="B10" s="3" t="s">
        <v>264</v>
      </c>
      <c r="C10" s="3" t="s">
        <v>265</v>
      </c>
    </row>
    <row r="11" customFormat="false" ht="30" hidden="false" customHeight="true" outlineLevel="0" collapsed="false">
      <c r="A11" s="6" t="s">
        <v>266</v>
      </c>
      <c r="B11" s="6" t="s">
        <v>267</v>
      </c>
      <c r="C11" s="6" t="s">
        <v>268</v>
      </c>
    </row>
    <row r="12" customFormat="false" ht="30" hidden="false" customHeight="true" outlineLevel="0" collapsed="false">
      <c r="A12" s="3" t="s">
        <v>269</v>
      </c>
      <c r="B12" s="3" t="s">
        <v>270</v>
      </c>
      <c r="C12" s="3" t="s">
        <v>271</v>
      </c>
    </row>
    <row r="13" customFormat="false" ht="30" hidden="false" customHeight="true" outlineLevel="0" collapsed="false">
      <c r="A13" s="6" t="s">
        <v>272</v>
      </c>
      <c r="B13" s="6" t="s">
        <v>273</v>
      </c>
      <c r="C13" s="6" t="s">
        <v>274</v>
      </c>
    </row>
    <row r="14" customFormat="false" ht="30" hidden="false" customHeight="true" outlineLevel="0" collapsed="false">
      <c r="A14" s="3" t="s">
        <v>275</v>
      </c>
      <c r="B14" s="3" t="s">
        <v>276</v>
      </c>
      <c r="C14" s="3" t="s">
        <v>277</v>
      </c>
    </row>
    <row r="15" customFormat="false" ht="30" hidden="false" customHeight="true" outlineLevel="0" collapsed="false">
      <c r="A15" s="6" t="s">
        <v>278</v>
      </c>
      <c r="B15" s="6" t="s">
        <v>279</v>
      </c>
      <c r="C15" s="6" t="s">
        <v>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2026-09-13T12:09:01Z</dcterms:created>
  <dc:creator>openpyxl</dc:creator>
  <dc:description/>
  <dc:language>en-US</dc:language>
  <cp:lastModifiedBy/>
  <dcterms:modified xsi:type="dcterms:W3CDTF">2026-09-13T12:09:01Z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